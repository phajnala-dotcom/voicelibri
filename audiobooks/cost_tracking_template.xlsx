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Title</t>
        </is>
      </c>
      <c r="B1" s="2" t="inlineStr"/>
    </row>
    <row r="3">
      <c r="A3" s="3" t="inlineStr">
        <is>
          <t>Process</t>
        </is>
      </c>
      <c r="B3" s="3" t="inlineStr">
        <is>
          <t>Model</t>
        </is>
      </c>
      <c r="C3" s="3" t="inlineStr">
        <is>
          <t>Input Tokens</t>
        </is>
      </c>
      <c r="D3" s="3" t="inlineStr">
        <is>
          <t>Output Tokens</t>
        </is>
      </c>
      <c r="E3" s="3" t="inlineStr">
        <is>
          <t>Input Costs</t>
        </is>
      </c>
      <c r="F3" s="3" t="inlineStr">
        <is>
          <t>Output Costs</t>
        </is>
      </c>
    </row>
    <row r="4">
      <c r="A4" s="4" t="inlineStr">
        <is>
          <t>Characters Extraction</t>
        </is>
      </c>
      <c r="B4" s="4" t="inlineStr">
        <is>
          <t>gemini-2.5-flash</t>
        </is>
      </c>
      <c r="C4" s="5" t="n">
        <v>0</v>
      </c>
      <c r="D4" s="5" t="n">
        <v>0</v>
      </c>
      <c r="E4" s="6">
        <f>0.3/1000000*C4</f>
        <v/>
      </c>
      <c r="F4" s="6">
        <f>2.5/1000000*D4</f>
        <v/>
      </c>
    </row>
    <row r="5">
      <c r="A5" s="4" t="inlineStr">
        <is>
          <t>Dramatization</t>
        </is>
      </c>
      <c r="B5" s="4" t="inlineStr">
        <is>
          <t>gemini-2.5-flash</t>
        </is>
      </c>
      <c r="C5" s="5" t="n">
        <v>0</v>
      </c>
      <c r="D5" s="5" t="n">
        <v>0</v>
      </c>
      <c r="E5" s="6">
        <f>0.5/1000000*C5</f>
        <v/>
      </c>
      <c r="F5" s="6">
        <f>2.5/1000000*D5</f>
        <v/>
      </c>
    </row>
    <row r="6">
      <c r="A6" s="4" t="inlineStr">
        <is>
          <t>Audio Generation</t>
        </is>
      </c>
      <c r="B6" s="4" t="inlineStr">
        <is>
          <t>gemini-2.5-flash-tts</t>
        </is>
      </c>
      <c r="C6" s="5" t="n">
        <v>0</v>
      </c>
      <c r="D6" s="5" t="n">
        <v>0</v>
      </c>
      <c r="E6" s="6">
        <f>0.3/1000000*C6</f>
        <v/>
      </c>
      <c r="F6" s="6">
        <f>10.0/1000000*D6</f>
        <v/>
      </c>
    </row>
    <row r="7">
      <c r="A7" s="1" t="inlineStr">
        <is>
          <t>Costs Subtotal</t>
        </is>
      </c>
      <c r="E7" s="7">
        <f>SUM(E4:E6)</f>
        <v/>
      </c>
      <c r="F7" s="7">
        <f>SUM(F4:F6)</f>
        <v/>
      </c>
    </row>
    <row r="8">
      <c r="A8" s="1" t="inlineStr">
        <is>
          <t>Costs GrandTotal</t>
        </is>
      </c>
      <c r="F8" s="8">
        <f>E7+F7</f>
        <v/>
      </c>
    </row>
    <row r="10">
      <c r="A10" s="1" t="inlineStr">
        <is>
          <t>Total Duration (hours)</t>
        </is>
      </c>
      <c r="B10" s="2" t="n">
        <v>0</v>
      </c>
    </row>
    <row r="11">
      <c r="A11" s="1" t="inlineStr">
        <is>
          <t>Unit Price per Hour</t>
        </is>
      </c>
      <c r="B11" s="8">
        <f>IF(B10&gt;0,F8/B10,0)</f>
        <v/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9" t="inlineStr">
        <is>
          <t>VoiceLibri Cost Tracking Template</t>
        </is>
      </c>
    </row>
    <row r="3">
      <c r="A3" t="inlineStr">
        <is>
          <t>Yellow cells are INPUT fields - enter your values there.</t>
        </is>
      </c>
    </row>
    <row r="4">
      <c r="A4" t="inlineStr">
        <is>
          <t>All cost calculations are automatic via Excel formulas.</t>
        </is>
      </c>
    </row>
    <row r="6">
      <c r="A6" t="inlineStr">
        <is>
          <t>INPUT FIELDS:</t>
        </is>
      </c>
    </row>
    <row r="7">
      <c r="A7" t="inlineStr">
        <is>
          <t>- B1: Book title</t>
        </is>
      </c>
    </row>
    <row r="8">
      <c r="A8" t="inlineStr">
        <is>
          <t>- C4-C6: Input tokens for each process</t>
        </is>
      </c>
    </row>
    <row r="9">
      <c r="A9" t="inlineStr">
        <is>
          <t>- D4-D6: Output tokens for each process</t>
        </is>
      </c>
    </row>
    <row r="10">
      <c r="A10" t="inlineStr">
        <is>
          <t>- B10: Total audiobook duration in hours</t>
        </is>
      </c>
    </row>
    <row r="12">
      <c r="A12" t="inlineStr">
        <is>
          <t>CALCULATED FIELDS:</t>
        </is>
      </c>
    </row>
    <row r="13">
      <c r="A13" t="inlineStr">
        <is>
          <t>- E4-E6: Input costs (rate × tokens)</t>
        </is>
      </c>
    </row>
    <row r="14">
      <c r="A14" t="inlineStr">
        <is>
          <t>- F4-F6: Output costs (rate × tokens)</t>
        </is>
      </c>
    </row>
    <row r="15">
      <c r="A15" t="inlineStr">
        <is>
          <t>- F8: Total cost (all inputs + outputs)</t>
        </is>
      </c>
    </row>
    <row r="16">
      <c r="A16" t="inlineStr">
        <is>
          <t>- B11: Cost per hour of audiobook</t>
        </is>
      </c>
    </row>
    <row r="18">
      <c r="A18" t="inlineStr">
        <is>
          <t>PRICING (as of 2025):</t>
        </is>
      </c>
    </row>
    <row r="19">
      <c r="A19" t="inlineStr">
        <is>
          <t>- gemini-2.5-flash: $0.30/M input, $2.50/M output</t>
        </is>
      </c>
    </row>
    <row r="20">
      <c r="A20" t="inlineStr">
        <is>
          <t>- gemini-2.5-flash (dramatization): $0.50/M input, $2.50/M output</t>
        </is>
      </c>
    </row>
    <row r="21">
      <c r="A21" t="inlineStr">
        <is>
          <t>- gemini-2.5-flash-tts: $0.30/M input, $10.00/M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2026-01-14T16:37:56Z</dcterms:created>
  <dcterms:modified xmlns:dcterms="http://purl.org/dc/terms/" xmlns:xsi="http://www.w3.org/2001/XMLSchema-instance" xsi:type="dcterms:W3CDTF">2026-01-14T16:37:56Z</dcterms:modified>
</cp:coreProperties>
</file>